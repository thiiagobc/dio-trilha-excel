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6E00F519-71CB-4836-B80C-1B002857F969}" xr6:coauthVersionLast="47" xr6:coauthVersionMax="47" xr10:uidLastSave="{00000000-0000-0000-0000-000000000000}"/>
  <bookViews>
    <workbookView xWindow="5352" yWindow="1392" windowWidth="11892" windowHeight="1108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3" l="1"/>
  <c r="D18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<sst xmlns="http://schemas.openxmlformats.org/spreadsheetml/2006/main" count="2017" uniqueCount="319">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</sst>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/>
    <xf numFmtId="165" fontId="0" fillId="0" borderId="0" xfId="2" applyNumberFormat="1" applyFont="1"/>
    <xf numFmtId="0" fontId="4" fillId="0" borderId="2" xfId="1" applyFont="1" applyBorder="1"/>
    <xf numFmtId="0" fontId="0" fillId="0" borderId="2" xfId="0" applyBorder="1"/>
    <xf numFmtId="0" fontId="4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39"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3 2" pivot="0" table="0" count="10" xr9:uid="{6D3E049E-E510-4FC0-AA34-0566FA680BAE}">
      <tableStyleElement type="wholeTable" dxfId="38"/>
      <tableStyleElement type="headerRow" dxfId="37"/>
    </tableStyle>
    <tableStyle name="SlicerStyleLight3 2 2" pivot="0" table="0" count="10" xr9:uid="{59A5DBA6-C66A-4745-8BF0-15C470CDAEA6}">
      <tableStyleElement type="wholeTable" dxfId="36"/>
      <tableStyleElement type="headerRow" dxfId="35"/>
    </tableStyle>
  </tableStyles>
  <colors>
    <mruColors>
      <color rgb="FF22C55E"/>
      <color rgb="FF5BF8A8"/>
      <color rgb="FFE8E6E9"/>
      <color rgb="FF2AE6B1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4"/>
  </c:pivotSource>
  <c:chart>
    <c:autoTitleDeleted val="1"/>
    <c:pivotFmts>
      <c:pivotFmt>
        <c:idx val="0"/>
        <c:spPr>
          <a:solidFill>
            <a:srgbClr val="5BF8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8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19-4A7F-89CF-2ED459995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10C-B0E1-CE058C03C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2402640"/>
        <c:axId val="1752398320"/>
      </c:barChart>
      <c:catAx>
        <c:axId val="175240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398320"/>
        <c:crosses val="autoZero"/>
        <c:auto val="1"/>
        <c:lblAlgn val="ctr"/>
        <c:lblOffset val="100"/>
        <c:noMultiLvlLbl val="0"/>
      </c:catAx>
      <c:valAx>
        <c:axId val="17523983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5240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68356</xdr:colOff>
      <xdr:row>0</xdr:row>
      <xdr:rowOff>95810</xdr:rowOff>
    </xdr:from>
    <xdr:to>
      <xdr:col>2</xdr:col>
      <xdr:colOff>438150</xdr:colOff>
      <xdr:row>1</xdr:row>
      <xdr:rowOff>476250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483948-47E8-4ADF-8D43-78A6877F9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64" t="19209" r="72537" b="24125"/>
        <a:stretch/>
      </xdr:blipFill>
      <xdr:spPr>
        <a:xfrm>
          <a:off x="2022662" y="95810"/>
          <a:ext cx="647700" cy="5597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561</xdr:rowOff>
    </xdr:from>
    <xdr:to>
      <xdr:col>0</xdr:col>
      <xdr:colOff>1952624</xdr:colOff>
      <xdr:row>18</xdr:row>
      <xdr:rowOff>169769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3595CBE1-B739-419A-8274-6B31162C8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91904"/>
              <a:ext cx="1952624" cy="2455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155783</xdr:colOff>
      <xdr:row>6</xdr:row>
      <xdr:rowOff>115020</xdr:rowOff>
    </xdr:from>
    <xdr:to>
      <xdr:col>9</xdr:col>
      <xdr:colOff>261883</xdr:colOff>
      <xdr:row>14</xdr:row>
      <xdr:rowOff>31369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E72DEAA6-6637-DCB2-39CC-AC007FB8A98C}"/>
            </a:ext>
          </a:extLst>
        </xdr:cNvPr>
        <xdr:cNvGrpSpPr/>
      </xdr:nvGrpSpPr>
      <xdr:grpSpPr>
        <a:xfrm>
          <a:off x="2115212" y="1606363"/>
          <a:ext cx="5102642" cy="1505663"/>
          <a:chOff x="1987130" y="1295672"/>
          <a:chExt cx="5074354" cy="1506404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98E283E-2963-AAB2-6850-B63C669F80F5}"/>
              </a:ext>
            </a:extLst>
          </xdr:cNvPr>
          <xdr:cNvSpPr/>
        </xdr:nvSpPr>
        <xdr:spPr>
          <a:xfrm>
            <a:off x="1988004" y="1305196"/>
            <a:ext cx="5073015" cy="1303564"/>
          </a:xfrm>
          <a:prstGeom prst="roundRect">
            <a:avLst>
              <a:gd name="adj" fmla="val 438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D8FFEB84-23F0-2D7F-DE5E-CA6419067C13}"/>
              </a:ext>
            </a:extLst>
          </xdr:cNvPr>
          <xdr:cNvGrpSpPr/>
        </xdr:nvGrpSpPr>
        <xdr:grpSpPr>
          <a:xfrm>
            <a:off x="1987130" y="1295672"/>
            <a:ext cx="5074354" cy="1506404"/>
            <a:chOff x="1984664" y="1296266"/>
            <a:chExt cx="5083351" cy="1510832"/>
          </a:xfrm>
        </xdr:grpSpPr>
        <xdr:sp macro="" textlink="C̳álculos!D18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51F571FD-46D6-F11F-5517-38C1DFC68299}"/>
                </a:ext>
              </a:extLst>
            </xdr:cNvPr>
            <xdr:cNvSpPr/>
          </xdr:nvSpPr>
          <xdr:spPr>
            <a:xfrm>
              <a:off x="3284339" y="1480526"/>
              <a:ext cx="3283527" cy="1326572"/>
            </a:xfrm>
            <a:prstGeom prst="roundRect">
              <a:avLst>
                <a:gd name="adj" fmla="val 6448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055FAF8-5C14-49B0-8A67-665AEF48470A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R$ 1.350,00</a:t>
              </a:fld>
              <a:endParaRPr lang="pt-BR" sz="9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" name="Retângulo: Cantos Superiores Arredondados 1">
              <a:extLst>
                <a:ext uri="{FF2B5EF4-FFF2-40B4-BE49-F238E27FC236}">
                  <a16:creationId xmlns:a16="http://schemas.microsoft.com/office/drawing/2014/main" id="{249F8C79-87E2-47F5-A454-B1F38DE910CB}"/>
                </a:ext>
              </a:extLst>
            </xdr:cNvPr>
            <xdr:cNvSpPr/>
          </xdr:nvSpPr>
          <xdr:spPr>
            <a:xfrm>
              <a:off x="1984664" y="1296266"/>
              <a:ext cx="5083351" cy="39658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</a:t>
              </a:r>
              <a:r>
                <a:rPr lang="pt-BR" sz="1100" b="1" baseline="0"/>
                <a:t> EA PLAY SEASON PASS</a:t>
              </a:r>
              <a:endParaRPr lang="pt-BR" sz="1100" b="1"/>
            </a:p>
          </xdr:txBody>
        </xdr:sp>
        <xdr:pic>
          <xdr:nvPicPr>
            <xdr:cNvPr id="10" name="Imagem 9">
              <a:extLst>
                <a:ext uri="{FF2B5EF4-FFF2-40B4-BE49-F238E27FC236}">
                  <a16:creationId xmlns:a16="http://schemas.microsoft.com/office/drawing/2014/main" id="{F425B560-E1C7-4502-8690-D66ED9F5F3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078809" y="1596324"/>
              <a:ext cx="1341120" cy="112014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482995</xdr:colOff>
      <xdr:row>7</xdr:row>
      <xdr:rowOff>22172</xdr:rowOff>
    </xdr:from>
    <xdr:to>
      <xdr:col>17</xdr:col>
      <xdr:colOff>141515</xdr:colOff>
      <xdr:row>13</xdr:row>
      <xdr:rowOff>158155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A6E78AF-DFB2-1FC1-B40B-43D8E84441D8}"/>
            </a:ext>
          </a:extLst>
        </xdr:cNvPr>
        <xdr:cNvGrpSpPr/>
      </xdr:nvGrpSpPr>
      <xdr:grpSpPr>
        <a:xfrm>
          <a:off x="7438966" y="1633258"/>
          <a:ext cx="4883663" cy="1431383"/>
          <a:chOff x="7280162" y="1297082"/>
          <a:chExt cx="5090476" cy="1451874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EA3DA825-53A0-DCF2-F420-0283EE08AFE6}"/>
              </a:ext>
            </a:extLst>
          </xdr:cNvPr>
          <xdr:cNvGrpSpPr/>
        </xdr:nvGrpSpPr>
        <xdr:grpSpPr>
          <a:xfrm>
            <a:off x="7280162" y="1297082"/>
            <a:ext cx="5090476" cy="1451874"/>
            <a:chOff x="1987130" y="1295672"/>
            <a:chExt cx="5074354" cy="1435495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6C30EC5D-E501-219F-80A1-A040DA429080}"/>
                </a:ext>
              </a:extLst>
            </xdr:cNvPr>
            <xdr:cNvSpPr/>
          </xdr:nvSpPr>
          <xdr:spPr>
            <a:xfrm>
              <a:off x="1988004" y="1305196"/>
              <a:ext cx="5073015" cy="1303564"/>
            </a:xfrm>
            <a:prstGeom prst="roundRect">
              <a:avLst>
                <a:gd name="adj" fmla="val 438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18" name="Agrupar 17">
              <a:extLst>
                <a:ext uri="{FF2B5EF4-FFF2-40B4-BE49-F238E27FC236}">
                  <a16:creationId xmlns:a16="http://schemas.microsoft.com/office/drawing/2014/main" id="{87582BED-8E7B-2B7A-3B0B-EA8A4065DFA9}"/>
                </a:ext>
              </a:extLst>
            </xdr:cNvPr>
            <xdr:cNvGrpSpPr/>
          </xdr:nvGrpSpPr>
          <xdr:grpSpPr>
            <a:xfrm>
              <a:off x="1987130" y="1295672"/>
              <a:ext cx="5074354" cy="1435495"/>
              <a:chOff x="1984664" y="1296266"/>
              <a:chExt cx="5083351" cy="1439714"/>
            </a:xfrm>
          </xdr:grpSpPr>
          <xdr:sp macro="" textlink="C̳álculos!D28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637C0221-20BC-D4F7-0BBE-FB0F096D9C4E}"/>
                  </a:ext>
                </a:extLst>
              </xdr:cNvPr>
              <xdr:cNvSpPr/>
            </xdr:nvSpPr>
            <xdr:spPr>
              <a:xfrm>
                <a:off x="3517096" y="1409408"/>
                <a:ext cx="3283527" cy="1326572"/>
              </a:xfrm>
              <a:prstGeom prst="roundRect">
                <a:avLst>
                  <a:gd name="adj" fmla="val 6448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6F7A4CB0-E6E2-4D26-B46D-78932255EE84}" type="TxLink">
                  <a:rPr lang="en-US" sz="3600" b="0" i="0" u="none" strike="noStrike">
                    <a:solidFill>
                      <a:srgbClr val="22C55E"/>
                    </a:solidFill>
                    <a:latin typeface="Aptos Narrow"/>
                  </a:rPr>
                  <a:t>R$ 1.800,00</a:t>
                </a:fld>
                <a:endParaRPr lang="pt-BR" sz="36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0" name="Retângulo: Cantos Superiores Arredondados 19">
                <a:extLst>
                  <a:ext uri="{FF2B5EF4-FFF2-40B4-BE49-F238E27FC236}">
                    <a16:creationId xmlns:a16="http://schemas.microsoft.com/office/drawing/2014/main" id="{D19B6CC9-D584-FE80-B756-30B02CD3AA44}"/>
                  </a:ext>
                </a:extLst>
              </xdr:cNvPr>
              <xdr:cNvSpPr/>
            </xdr:nvSpPr>
            <xdr:spPr>
              <a:xfrm>
                <a:off x="1984664" y="1296266"/>
                <a:ext cx="5083351" cy="396586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/>
                  <a:t>TOTAL SUBSCRIPTIONS</a:t>
                </a:r>
                <a:r>
                  <a:rPr lang="pt-BR" sz="1100" b="1" baseline="0"/>
                  <a:t> MINECRAFT PLAY SEASON PASS</a:t>
                </a:r>
                <a:endParaRPr lang="pt-BR" sz="1100" b="1"/>
              </a:p>
            </xdr:txBody>
          </xdr:sp>
        </xdr:grp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7784490-0646-48CF-B57C-27358F0C9889}"/>
              </a:ext>
            </a:extLst>
          </xdr:cNvPr>
          <xdr:cNvGrpSpPr/>
        </xdr:nvGrpSpPr>
        <xdr:grpSpPr>
          <a:xfrm>
            <a:off x="7441528" y="1740834"/>
            <a:ext cx="1732356" cy="69151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2AB84A51-2427-D519-7E94-5B9302BB4C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0399CC49-B01B-DA07-AAF5-C325CFB3794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152400</xdr:colOff>
      <xdr:row>13</xdr:row>
      <xdr:rowOff>154721</xdr:rowOff>
    </xdr:from>
    <xdr:to>
      <xdr:col>17</xdr:col>
      <xdr:colOff>85165</xdr:colOff>
      <xdr:row>31</xdr:row>
      <xdr:rowOff>32658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A068FAC-29F7-5591-79DD-5A09D6502A9A}"/>
            </a:ext>
          </a:extLst>
        </xdr:cNvPr>
        <xdr:cNvGrpSpPr/>
      </xdr:nvGrpSpPr>
      <xdr:grpSpPr>
        <a:xfrm>
          <a:off x="2111829" y="3061207"/>
          <a:ext cx="10154450" cy="3013022"/>
          <a:chOff x="2030506" y="2767293"/>
          <a:chExt cx="10376647" cy="3100107"/>
        </a:xfrm>
      </xdr:grpSpPr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813FDE8D-C9B7-2D00-06CB-6DDA8AB301D2}"/>
              </a:ext>
            </a:extLst>
          </xdr:cNvPr>
          <xdr:cNvGrpSpPr/>
        </xdr:nvGrpSpPr>
        <xdr:grpSpPr>
          <a:xfrm>
            <a:off x="2030506" y="2771775"/>
            <a:ext cx="10376647" cy="3095625"/>
            <a:chOff x="2030506" y="2771775"/>
            <a:chExt cx="10376647" cy="3095625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E5DF50E-1990-FFD7-3E02-ACAA7F42A944}"/>
                </a:ext>
              </a:extLst>
            </xdr:cNvPr>
            <xdr:cNvSpPr/>
          </xdr:nvSpPr>
          <xdr:spPr>
            <a:xfrm>
              <a:off x="2030506" y="2771775"/>
              <a:ext cx="10376647" cy="3095625"/>
            </a:xfrm>
            <a:prstGeom prst="roundRect">
              <a:avLst>
                <a:gd name="adj" fmla="val 673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F45A02D-5C62-42F0-A96A-FA9B6A0B6851}"/>
                </a:ext>
              </a:extLst>
            </xdr:cNvPr>
            <xdr:cNvGraphicFramePr>
              <a:graphicFrameLocks/>
            </xdr:cNvGraphicFramePr>
          </xdr:nvGraphicFramePr>
          <xdr:xfrm>
            <a:off x="2120910" y="3272116"/>
            <a:ext cx="9927955" cy="25549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B8AB1A6F-BA20-4C20-99CF-52B01C0995B7}"/>
              </a:ext>
            </a:extLst>
          </xdr:cNvPr>
          <xdr:cNvSpPr/>
        </xdr:nvSpPr>
        <xdr:spPr>
          <a:xfrm>
            <a:off x="2035810" y="2767293"/>
            <a:ext cx="10362378" cy="39993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</a:t>
            </a:r>
            <a:r>
              <a:rPr lang="pt-BR" sz="1100" b="1" baseline="0"/>
              <a:t> XBOX GAME PASS</a:t>
            </a:r>
            <a:endParaRPr lang="pt-BR" sz="1100" b="1"/>
          </a:p>
        </xdr:txBody>
      </xdr:sp>
    </xdr:grpSp>
    <xdr:clientData/>
  </xdr:twoCellAnchor>
  <xdr:twoCellAnchor>
    <xdr:from>
      <xdr:col>0</xdr:col>
      <xdr:colOff>591670</xdr:colOff>
      <xdr:row>1</xdr:row>
      <xdr:rowOff>53788</xdr:rowOff>
    </xdr:from>
    <xdr:to>
      <xdr:col>0</xdr:col>
      <xdr:colOff>1347955</xdr:colOff>
      <xdr:row>2</xdr:row>
      <xdr:rowOff>193189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1B36F2E2-83C8-443B-AD23-8BDA74188E26}"/>
            </a:ext>
          </a:extLst>
        </xdr:cNvPr>
        <xdr:cNvSpPr/>
      </xdr:nvSpPr>
      <xdr:spPr>
        <a:xfrm>
          <a:off x="591670" y="233082"/>
          <a:ext cx="756285" cy="63246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313765</xdr:colOff>
      <xdr:row>2</xdr:row>
      <xdr:rowOff>394448</xdr:rowOff>
    </xdr:from>
    <xdr:ext cx="1317668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F6F53B36-92A8-8A50-34B2-0EE07B94BC24}"/>
            </a:ext>
          </a:extLst>
        </xdr:cNvPr>
        <xdr:cNvSpPr txBox="1"/>
      </xdr:nvSpPr>
      <xdr:spPr>
        <a:xfrm>
          <a:off x="313765" y="1066801"/>
          <a:ext cx="13176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&gt; Welcome</a:t>
          </a:r>
          <a:r>
            <a:rPr lang="pt-BR" sz="1100" b="1" baseline="0">
              <a:solidFill>
                <a:schemeClr val="bg1"/>
              </a:solidFill>
            </a:rPr>
            <a:t> - Boss &lt;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91567</xdr:colOff>
      <xdr:row>3</xdr:row>
      <xdr:rowOff>6404</xdr:rowOff>
    </xdr:from>
    <xdr:ext cx="4928850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591FDBDE-2082-0E88-A99D-DD05BB7ED371}"/>
            </a:ext>
          </a:extLst>
        </xdr:cNvPr>
        <xdr:cNvSpPr txBox="1"/>
      </xdr:nvSpPr>
      <xdr:spPr>
        <a:xfrm>
          <a:off x="2050996" y="1182061"/>
          <a:ext cx="4928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>
                  <a:lumMod val="65000"/>
                </a:schemeClr>
              </a:solidFill>
            </a:rPr>
            <a:t>Calculation period: 01/01/2026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- 31/12/2026 | Update  date: 25/12/2026 09:00:00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de Brito Corteis" refreshedDate="46068.519437499999" createdVersion="8" refreshedVersion="8" minRefreshableVersion="3" recordCount="295" xr:uid="{CAC2525A-2A5C-41C7-B544-F3E2FEEAD5A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0825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E5287-0D56-4B58-9D13-6D139609530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4:B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CDDD4-7901-4E37-9E03-449A83FA72E9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4:B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4F3BC-CC42-47EB-93F5-98CFBA59877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formats count="1">
    <format dxfId="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9F5233D-C188-44DD-BE7B-5323040DEDF3}" sourceName="Subscription Type">
  <pivotTables>
    <pivotTable tabId="3" name="tbl_annual_total"/>
    <pivotTable tabId="3" name="tbl_easeasonpass_total"/>
    <pivotTable tabId="3" name="Tabela dinâmica1"/>
  </pivotTables>
  <data>
    <tabular pivotCacheId="66082585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5DA1F23-AD5E-4A03-B455-66EC73EBD5E3}" cache="SegmentaçãodeDados_Subscription_Type" caption="Subscription Type" style="SlicerStyleLight3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3"/>
    <tableColumn id="2" xr3:uid="{53DD39D0-2220-4121-9E9D-4EAA7E151C0F}" name="Name" dataDxfId="32"/>
    <tableColumn id="3" xr3:uid="{4F5FF271-4C57-4BE0-8F2C-F82C8551625C}" name="Plan" dataDxfId="31"/>
    <tableColumn id="4" xr3:uid="{8C17EB93-79B9-4E55-B8F7-BEB82F8253E9}" name="Start Date" dataDxfId="30"/>
    <tableColumn id="5" xr3:uid="{48CEDF9B-1689-482A-A828-5CCE7713264A}" name="Auto Renewal" dataDxfId="29"/>
    <tableColumn id="6" xr3:uid="{78B82374-9AA7-4E38-AE4F-78CDE6C83720}" name="Subscription Price" dataDxfId="28" dataCellStyle="Moeda"/>
    <tableColumn id="7" xr3:uid="{F2433F68-AF33-49D0-B1FB-19A396074EDE}" name="Subscription Type" dataDxfId="27"/>
    <tableColumn id="8" xr3:uid="{FD4D9C95-F6E5-4933-9068-A71FF7DF9343}" name="EA Play Season Pass" dataDxfId="26"/>
    <tableColumn id="13" xr3:uid="{978DD0D2-834E-4CE4-A39B-30976086932F}" name="EA Play Season Pass_x000a_Price" dataDxfId="25" dataCellStyle="Moeda"/>
    <tableColumn id="9" xr3:uid="{6E29F111-C395-4580-9DAD-3407D9E8B1A4}" name="Minecraft Season Pass" dataDxfId="24"/>
    <tableColumn id="10" xr3:uid="{EF544EAA-7F25-4FD5-A10E-8E62804DB9E3}" name="Minecraft Season Pass Price" dataDxfId="23" dataCellStyle="Moeda"/>
    <tableColumn id="11" xr3:uid="{7F6EB64A-1F07-4E48-9F0F-AC7D9DCD26F8}" name="Coupon Value" dataDxfId="22" dataCellStyle="Moeda"/>
    <tableColumn id="12" xr3:uid="{2B04ABC8-DE6F-426E-ADC0-D8AFC68CA58E}" name="Total Value" data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D29" sqref="D29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29" sqref="D29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28"/>
  <sheetViews>
    <sheetView showGridLines="0" workbookViewId="0">
      <selection activeCell="A25" sqref="A25"/>
    </sheetView>
  </sheetViews>
  <sheetFormatPr defaultRowHeight="13.8"/>
  <cols>
    <col min="1" max="1" width="17.69921875" bestFit="1" customWidth="1"/>
    <col min="2" max="2" width="34.5" bestFit="1" customWidth="1"/>
    <col min="3" max="3" width="18.3984375" bestFit="1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2">
      <c r="A1" s="12" t="s">
        <v>16</v>
      </c>
      <c r="B1" t="s">
        <v>20</v>
      </c>
    </row>
    <row r="3" spans="1:2">
      <c r="A3" s="12" t="s">
        <v>313</v>
      </c>
      <c r="B3" t="s">
        <v>315</v>
      </c>
    </row>
    <row r="4" spans="1:2">
      <c r="A4" s="13" t="s">
        <v>23</v>
      </c>
      <c r="B4" s="14">
        <v>2824</v>
      </c>
    </row>
    <row r="5" spans="1:2">
      <c r="A5" s="13" t="s">
        <v>19</v>
      </c>
      <c r="B5" s="14">
        <v>747</v>
      </c>
    </row>
    <row r="6" spans="1:2">
      <c r="A6" s="13" t="s">
        <v>314</v>
      </c>
      <c r="B6" s="14">
        <v>3571</v>
      </c>
    </row>
    <row r="12" spans="1:2">
      <c r="A12" s="12" t="s">
        <v>16</v>
      </c>
      <c r="B12" t="s">
        <v>20</v>
      </c>
    </row>
    <row r="14" spans="1:2">
      <c r="A14" s="12" t="s">
        <v>313</v>
      </c>
      <c r="B14" t="s">
        <v>317</v>
      </c>
    </row>
    <row r="15" spans="1:2">
      <c r="A15" s="13" t="s">
        <v>22</v>
      </c>
      <c r="B15" s="15">
        <v>0</v>
      </c>
    </row>
    <row r="16" spans="1:2">
      <c r="A16" s="13" t="s">
        <v>26</v>
      </c>
      <c r="B16" s="15">
        <v>0</v>
      </c>
    </row>
    <row r="17" spans="1:4">
      <c r="A17" s="13" t="s">
        <v>18</v>
      </c>
      <c r="B17" s="15">
        <v>1350</v>
      </c>
    </row>
    <row r="18" spans="1:4">
      <c r="A18" s="13" t="s">
        <v>314</v>
      </c>
      <c r="B18" s="15">
        <v>1350</v>
      </c>
      <c r="D18" s="16">
        <f>GETPIVOTDATA("EA Play Season Pass
Price",$A$14)</f>
        <v>1350</v>
      </c>
    </row>
    <row r="22" spans="1:4">
      <c r="A22" s="12" t="s">
        <v>16</v>
      </c>
      <c r="B22" t="s">
        <v>20</v>
      </c>
    </row>
    <row r="24" spans="1:4">
      <c r="A24" s="12" t="s">
        <v>313</v>
      </c>
      <c r="B24" t="s">
        <v>318</v>
      </c>
    </row>
    <row r="25" spans="1:4">
      <c r="A25" s="13" t="s">
        <v>22</v>
      </c>
      <c r="B25" s="15">
        <v>0</v>
      </c>
    </row>
    <row r="26" spans="1:4">
      <c r="A26" s="13" t="s">
        <v>26</v>
      </c>
      <c r="B26" s="15">
        <v>900</v>
      </c>
    </row>
    <row r="27" spans="1:4">
      <c r="A27" s="13" t="s">
        <v>18</v>
      </c>
      <c r="B27" s="15">
        <v>900</v>
      </c>
    </row>
    <row r="28" spans="1:4">
      <c r="A28" s="13" t="s">
        <v>314</v>
      </c>
      <c r="B28" s="15">
        <v>1800</v>
      </c>
      <c r="D28" s="16">
        <f>GETPIVOTDATA("Minecraft Season Pass Price",$A$24)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501"/>
  <sheetViews>
    <sheetView showGridLines="0" showRowColHeaders="0" tabSelected="1" zoomScale="70" zoomScaleNormal="70" workbookViewId="0">
      <selection activeCell="F8" sqref="F8"/>
    </sheetView>
  </sheetViews>
  <sheetFormatPr defaultRowHeight="13.8"/>
  <cols>
    <col min="1" max="1" width="25.69921875" style="4" customWidth="1"/>
    <col min="2" max="2" width="3.59765625" customWidth="1"/>
    <col min="12" max="12" width="6.59765625" customWidth="1"/>
  </cols>
  <sheetData>
    <row r="2" spans="1:17" ht="39" customHeight="1" thickBot="1">
      <c r="B2" s="19" t="s">
        <v>316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</row>
    <row r="3" spans="1:17" ht="39" customHeight="1" thickTop="1"/>
    <row r="4" spans="1:17" s="7" customFormat="1" ht="8.25" customHeight="1">
      <c r="A4" s="4"/>
    </row>
    <row r="5" spans="1:17" s="7" customFormat="1" ht="7.5" customHeight="1">
      <c r="A5" s="4"/>
    </row>
    <row r="6" spans="1:17" s="7" customFormat="1" ht="10.5" customHeight="1">
      <c r="A6" s="4"/>
    </row>
    <row r="7" spans="1:17" s="7" customFormat="1" ht="9.75" customHeight="1">
      <c r="A7" s="4"/>
    </row>
    <row r="8" spans="1:17" s="7" customFormat="1" ht="33" customHeight="1">
      <c r="A8" s="4"/>
    </row>
    <row r="9" spans="1:17" s="7" customFormat="1">
      <c r="A9" s="4"/>
    </row>
    <row r="10" spans="1:17" s="7" customFormat="1">
      <c r="A10" s="4"/>
    </row>
    <row r="11" spans="1:17" s="7" customFormat="1">
      <c r="A11" s="4"/>
    </row>
    <row r="12" spans="1:17" s="7" customFormat="1">
      <c r="A12" s="4"/>
    </row>
    <row r="13" spans="1:17" s="7" customFormat="1">
      <c r="A13" s="4"/>
    </row>
    <row r="14" spans="1:17" s="7" customFormat="1">
      <c r="A14" s="4"/>
    </row>
    <row r="15" spans="1:17" s="7" customFormat="1">
      <c r="A15" s="4"/>
    </row>
    <row r="16" spans="1:17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Thiago de Brito Corteis</cp:lastModifiedBy>
  <dcterms:created xsi:type="dcterms:W3CDTF">2024-12-19T13:13:10Z</dcterms:created>
  <dcterms:modified xsi:type="dcterms:W3CDTF">2026-02-15T22:41:48Z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