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6F656D12-801F-49C4-990D-24B8464CB08A}" xr6:coauthVersionLast="47" xr6:coauthVersionMax="47" xr10:uidLastSave="{00000000-0000-0000-0000-000000000000}"/>
  <bookViews>
    <workbookView xWindow="-108" yWindow="-108" windowWidth="23256" windowHeight="12576" xr2:uid="{C27CE0A3-4A4A-48D7-9E6C-1CFA2982348C}"/>
  </bookViews>
  <sheets>
    <sheet name="Planilha1" sheetId="1" r:id="rId1"/>
    <sheet name="Planilha2" sheetId="2" r:id="rId2"/>
  </sheets>
  <definedNames>
    <definedName name="aporte">Planilha1!$E$19</definedName>
    <definedName name="patrimonio">Planilha1!$E$22</definedName>
    <definedName name="qtd_anos">Planilha1!$E$20</definedName>
    <definedName name="rendimento_carteira">Planilha1!$E$14</definedName>
    <definedName name="salario">Planilha1!$E$13</definedName>
    <definedName name="sugestao_investimento">Planilha1!$E$15</definedName>
    <definedName name="taxa_mensal">Planilha1!$E$21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1" l="1"/>
  <c r="E38" i="1" s="1"/>
  <c r="D37" i="1"/>
  <c r="E37" i="1" s="1"/>
  <c r="A4" i="2"/>
  <c r="A5" i="2"/>
  <c r="A6" i="2"/>
  <c r="A7" i="2"/>
  <c r="A8" i="2"/>
  <c r="A3" i="2"/>
  <c r="D34" i="1"/>
  <c r="E22" i="1"/>
  <c r="E23" i="1" s="1"/>
  <c r="E15" i="1"/>
  <c r="C27" i="1"/>
  <c r="D27" i="1" s="1"/>
  <c r="C28" i="1"/>
  <c r="D28" i="1" s="1"/>
  <c r="C29" i="1"/>
  <c r="D29" i="1" s="1"/>
  <c r="C30" i="1"/>
  <c r="D30" i="1" s="1"/>
  <c r="C26" i="1"/>
  <c r="D26" i="1" s="1"/>
  <c r="D39" i="1" l="1"/>
  <c r="E39" i="1"/>
  <c r="E28" i="1"/>
  <c r="E29" i="1"/>
  <c r="E26" i="1"/>
  <c r="E27" i="1"/>
  <c r="E30" i="1"/>
</calcChain>
</file>

<file path=xl/sharedStrings.xml><?xml version="1.0" encoding="utf-8"?>
<sst xmlns="http://schemas.openxmlformats.org/spreadsheetml/2006/main" count="43" uniqueCount="32">
  <si>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</si>
  <si>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</si>
  <si>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</si>
  <si>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</si>
  <si>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</si>
  <si>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</si>
  <si>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</si>
  <si>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</si>
  <si>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</si>
  <si>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</si>
  <si>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</si>
  <si>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</si>
  <si>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 xml:space="preserve">Patrimônio </t>
  </si>
  <si>
    <t>Dividendo</t>
  </si>
  <si>
    <t>Configurações</t>
  </si>
  <si>
    <t>Salário</t>
  </si>
  <si>
    <t>Sugestão de Investimento</t>
  </si>
  <si>
    <t>Rendimento Carteira</t>
  </si>
  <si>
    <t>Acumulado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</si>
  <si>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</si>
  <si>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</si>
  <si>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</si>
  <si>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</si>
  <si>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</si>
  <si>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</si>
  <si>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</si>
  <si>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</si>
  <si>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Conservador</t>
  </si>
  <si>
    <t>PERFIL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</si>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</sst>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scheme val="minor"/>
    </font>
    <font>
      <sz val="20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50">
    <xf numFmtId="0" fontId="0" fillId="0" borderId="0" xfId="0"/>
    <xf numFmtId="0" fontId="2" fillId="3" borderId="0" xfId="0" applyFont="1" applyFill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0" fillId="0" borderId="0" xfId="0" applyAlignment="1"/>
    <xf numFmtId="8" fontId="0" fillId="0" borderId="9" xfId="0" applyNumberFormat="1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6" xfId="2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left" indent="2"/>
    </xf>
    <xf numFmtId="0" fontId="5" fillId="0" borderId="7" xfId="0" applyFont="1" applyBorder="1" applyAlignment="1">
      <alignment horizontal="left" indent="2"/>
    </xf>
    <xf numFmtId="10" fontId="0" fillId="0" borderId="6" xfId="0" applyNumberFormat="1" applyBorder="1" applyAlignment="1">
      <alignment horizontal="center" vertical="center"/>
    </xf>
    <xf numFmtId="8" fontId="0" fillId="0" borderId="6" xfId="0" applyNumberFormat="1" applyBorder="1"/>
    <xf numFmtId="8" fontId="0" fillId="0" borderId="8" xfId="0" applyNumberFormat="1" applyBorder="1"/>
    <xf numFmtId="0" fontId="5" fillId="0" borderId="1" xfId="0" applyFont="1" applyBorder="1" applyAlignment="1">
      <alignment horizontal="left" indent="2"/>
    </xf>
    <xf numFmtId="0" fontId="5" fillId="0" borderId="0" xfId="0" applyFont="1" applyBorder="1" applyAlignment="1">
      <alignment horizontal="left" indent="2"/>
    </xf>
    <xf numFmtId="0" fontId="5" fillId="0" borderId="12" xfId="0" applyFont="1" applyBorder="1" applyAlignment="1">
      <alignment horizontal="left" indent="2"/>
    </xf>
    <xf numFmtId="0" fontId="5" fillId="0" borderId="2" xfId="0" applyFont="1" applyBorder="1" applyAlignment="1">
      <alignment horizontal="left" indent="2"/>
    </xf>
    <xf numFmtId="0" fontId="5" fillId="0" borderId="17" xfId="0" applyFont="1" applyBorder="1" applyAlignment="1">
      <alignment horizontal="left" indent="2"/>
    </xf>
    <xf numFmtId="0" fontId="5" fillId="0" borderId="13" xfId="0" applyFont="1" applyBorder="1" applyAlignment="1">
      <alignment horizontal="left" indent="2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6" fillId="5" borderId="0" xfId="3" applyBorder="1" applyAlignment="1">
      <alignment horizontal="left" indent="2"/>
    </xf>
    <xf numFmtId="0" fontId="6" fillId="5" borderId="0" xfId="3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indent="2"/>
    </xf>
    <xf numFmtId="0" fontId="0" fillId="6" borderId="0" xfId="0" applyFill="1"/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0" borderId="18" xfId="0" applyBorder="1"/>
    <xf numFmtId="0" fontId="0" fillId="0" borderId="18" xfId="0" applyBorder="1" applyAlignment="1">
      <alignment vertical="center"/>
    </xf>
    <xf numFmtId="9" fontId="0" fillId="0" borderId="0" xfId="2" applyFont="1" applyAlignment="1">
      <alignment horizontal="center" vertical="center"/>
    </xf>
    <xf numFmtId="9" fontId="0" fillId="0" borderId="18" xfId="2" applyFont="1" applyBorder="1" applyAlignment="1">
      <alignment horizontal="center" vertical="center"/>
    </xf>
    <xf numFmtId="0" fontId="6" fillId="5" borderId="0" xfId="3" applyAlignment="1">
      <alignment horizontal="center" vertical="center"/>
    </xf>
    <xf numFmtId="9" fontId="7" fillId="6" borderId="0" xfId="0" applyNumberFormat="1" applyFont="1" applyFill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2797</xdr:colOff>
      <xdr:row>0</xdr:row>
      <xdr:rowOff>83820</xdr:rowOff>
    </xdr:from>
    <xdr:to>
      <xdr:col>4</xdr:col>
      <xdr:colOff>1455420</xdr:colOff>
      <xdr:row>9</xdr:row>
      <xdr:rowOff>173588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6D6682-40D4-5E0C-478A-AFDA23A5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77" y="83820"/>
          <a:ext cx="6443723" cy="1667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98F5-95A5-4108-9995-69FD1E6BBD77}">
  <dimension ref="A11:K64"/>
  <sheetViews>
    <sheetView showGridLines="0" showRowColHeaders="0" tabSelected="1" workbookViewId="0">
      <selection activeCell="E48" sqref="E48"/>
    </sheetView>
  </sheetViews>
  <sheetFormatPr defaultColWidth="0" defaultRowHeight="13.8"/>
  <cols>
    <col min="1" max="1" width="2.8984375" bestFit="1" customWidth="1"/>
    <col min="2" max="2" width="22.796875" bestFit="1" customWidth="1"/>
    <col min="3" max="3" width="25.296875" customWidth="1"/>
    <col min="4" max="4" width="17.3984375" bestFit="1" customWidth="1"/>
    <col min="5" max="5" width="19.19921875" bestFit="1" customWidth="1"/>
    <col min="6" max="6" width="17.796875" customWidth="1"/>
    <col min="7" max="8" width="8.796875" customWidth="1"/>
    <col min="9" max="11" width="8.796875" hidden="1" customWidth="1"/>
  </cols>
  <sheetData>
    <row r="11" spans="2:5" ht="14.4" thickBot="1"/>
    <row r="12" spans="2:5" ht="24.6">
      <c r="B12" s="25" t="s">
        <v>14</v>
      </c>
      <c r="C12" s="26"/>
      <c r="D12" s="26"/>
      <c r="E12" s="27"/>
    </row>
    <row r="13" spans="2:5" ht="15">
      <c r="B13" s="19" t="s">
        <v>15</v>
      </c>
      <c r="C13" s="20"/>
      <c r="D13" s="21"/>
      <c r="E13" s="12">
        <v>5000</v>
      </c>
    </row>
    <row r="14" spans="2:5" ht="15">
      <c r="B14" s="19" t="s">
        <v>17</v>
      </c>
      <c r="C14" s="20"/>
      <c r="D14" s="21"/>
      <c r="E14" s="16">
        <v>1.0800000000000001E-2</v>
      </c>
    </row>
    <row r="15" spans="2:5" ht="15.6" thickBot="1">
      <c r="B15" s="22" t="s">
        <v>16</v>
      </c>
      <c r="C15" s="23"/>
      <c r="D15" s="24"/>
      <c r="E15" s="13">
        <f>E13*30%</f>
        <v>1500</v>
      </c>
    </row>
    <row r="17" spans="1:5" ht="14.4" thickBot="1"/>
    <row r="18" spans="1:5" ht="24.6" customHeight="1">
      <c r="B18" s="28" t="s">
        <v>5</v>
      </c>
      <c r="C18" s="29"/>
      <c r="D18" s="29"/>
      <c r="E18" s="30"/>
    </row>
    <row r="19" spans="1:5" ht="15">
      <c r="B19" s="19" t="s">
        <v>0</v>
      </c>
      <c r="C19" s="20"/>
      <c r="D19" s="21"/>
      <c r="E19" s="10">
        <v>750</v>
      </c>
    </row>
    <row r="20" spans="1:5" ht="15">
      <c r="B20" s="19" t="s">
        <v>1</v>
      </c>
      <c r="C20" s="20"/>
      <c r="D20" s="21"/>
      <c r="E20" s="10">
        <v>5</v>
      </c>
    </row>
    <row r="21" spans="1:5" ht="15">
      <c r="B21" s="19" t="s">
        <v>2</v>
      </c>
      <c r="C21" s="20"/>
      <c r="D21" s="21"/>
      <c r="E21" s="11">
        <v>1.0800000000000001E-2</v>
      </c>
    </row>
    <row r="22" spans="1:5" ht="15">
      <c r="B22" s="19" t="s">
        <v>3</v>
      </c>
      <c r="C22" s="20"/>
      <c r="D22" s="21"/>
      <c r="E22" s="7">
        <f>FV(taxa_mensal,qtd_anos*12,aporte*-1)</f>
        <v>62853.014519443823</v>
      </c>
    </row>
    <row r="23" spans="1:5" ht="15.6" thickBot="1">
      <c r="B23" s="22" t="s">
        <v>4</v>
      </c>
      <c r="C23" s="23"/>
      <c r="D23" s="24"/>
      <c r="E23" s="9">
        <f>patrimonio*taxa_mensal</f>
        <v>678.81255680999334</v>
      </c>
    </row>
    <row r="24" spans="1:5" ht="14.4" thickBot="1">
      <c r="B24" s="5"/>
      <c r="C24" s="5"/>
      <c r="D24" s="5"/>
    </row>
    <row r="25" spans="1:5" ht="24.6">
      <c r="B25" s="2" t="s">
        <v>11</v>
      </c>
      <c r="C25" s="4" t="s">
        <v>12</v>
      </c>
      <c r="D25" s="4" t="s">
        <v>13</v>
      </c>
      <c r="E25" s="3" t="s">
        <v>18</v>
      </c>
    </row>
    <row r="26" spans="1:5" ht="15">
      <c r="A26" s="1">
        <v>2</v>
      </c>
      <c r="B26" s="14" t="s">
        <v>6</v>
      </c>
      <c r="C26" s="6">
        <f>FV($E$21,$A26*12,$E$19*-1)</f>
        <v>20423.147745436192</v>
      </c>
      <c r="D26" s="6">
        <f>C26*rendimento_carteira</f>
        <v>220.56999565071089</v>
      </c>
      <c r="E26" s="17">
        <f>C26+D26</f>
        <v>20643.717741086904</v>
      </c>
    </row>
    <row r="27" spans="1:5" ht="15">
      <c r="A27" s="1">
        <v>5</v>
      </c>
      <c r="B27" s="14" t="s">
        <v>7</v>
      </c>
      <c r="C27" s="6">
        <f>FV($E$21,$A27*12,$E$19*-1)</f>
        <v>62853.014519443823</v>
      </c>
      <c r="D27" s="6">
        <f>C27*rendimento_carteira</f>
        <v>678.81255680999334</v>
      </c>
      <c r="E27" s="17">
        <f t="shared" ref="E27:E30" si="0">C27+D27</f>
        <v>63531.827076253816</v>
      </c>
    </row>
    <row r="28" spans="1:5" ht="15">
      <c r="A28" s="1">
        <v>10</v>
      </c>
      <c r="B28" s="14" t="s">
        <v>8</v>
      </c>
      <c r="C28" s="6">
        <f>FV($E$21,$A28*12,$E$19*-1)</f>
        <v>182593.24969110006</v>
      </c>
      <c r="D28" s="6">
        <f>C28*rendimento_carteira</f>
        <v>1972.0070966638807</v>
      </c>
      <c r="E28" s="17">
        <f t="shared" si="0"/>
        <v>184565.25678776394</v>
      </c>
    </row>
    <row r="29" spans="1:5" ht="15">
      <c r="A29" s="1">
        <v>20</v>
      </c>
      <c r="B29" s="14" t="s">
        <v>9</v>
      </c>
      <c r="C29" s="6">
        <f>FV($E$21,$A29*12,$E$19*-1)</f>
        <v>845286.74497389246</v>
      </c>
      <c r="D29" s="6">
        <f>C29*rendimento_carteira</f>
        <v>9129.0968457180388</v>
      </c>
      <c r="E29" s="17">
        <f t="shared" si="0"/>
        <v>854415.84181961045</v>
      </c>
    </row>
    <row r="30" spans="1:5" ht="15.6" thickBot="1">
      <c r="A30" s="1">
        <v>30</v>
      </c>
      <c r="B30" s="15" t="s">
        <v>10</v>
      </c>
      <c r="C30" s="8">
        <f>FV($E$21,$A30*12,$E$19*-1)</f>
        <v>3250428.6077375636</v>
      </c>
      <c r="D30" s="8">
        <f>C30*rendimento_carteira</f>
        <v>35104.628963565687</v>
      </c>
      <c r="E30" s="18">
        <f t="shared" si="0"/>
        <v>3285533.236701129</v>
      </c>
    </row>
    <row r="33" spans="2:5">
      <c r="B33" s="31" t="s">
        <v>19</v>
      </c>
      <c r="C33" s="32"/>
      <c r="D33" s="48" t="s">
        <v>27</v>
      </c>
      <c r="E33" s="32"/>
    </row>
    <row r="34" spans="2:5">
      <c r="B34" s="40" t="s">
        <v>21</v>
      </c>
      <c r="C34" s="40"/>
      <c r="D34" s="39">
        <f>aporte</f>
        <v>750</v>
      </c>
    </row>
    <row r="36" spans="2:5">
      <c r="B36" s="37" t="s">
        <v>22</v>
      </c>
      <c r="C36" s="37"/>
      <c r="D36" s="38" t="s">
        <v>23</v>
      </c>
      <c r="E36" s="38" t="s">
        <v>24</v>
      </c>
    </row>
    <row r="37" spans="2:5">
      <c r="B37" s="35" t="s">
        <v>25</v>
      </c>
      <c r="C37" s="35"/>
      <c r="D37" s="36">
        <f>VLOOKUP($D$33&amp;"-"&amp;B37,Planilha2!A:D,4,)</f>
        <v>0.3</v>
      </c>
      <c r="E37" s="33">
        <f>D37*$D$34</f>
        <v>225</v>
      </c>
    </row>
    <row r="38" spans="2:5">
      <c r="B38" s="35" t="s">
        <v>26</v>
      </c>
      <c r="C38" s="35"/>
      <c r="D38" s="36">
        <f>VLOOKUP($D$33&amp;"-"&amp;B38,Planilha2!A:D,4,)</f>
        <v>0.7</v>
      </c>
      <c r="E38" s="33">
        <f>D38*$D$34</f>
        <v>525</v>
      </c>
    </row>
    <row r="39" spans="2:5">
      <c r="B39" s="41"/>
      <c r="C39" s="41"/>
      <c r="D39" s="49">
        <f>SUM(D37:D38)</f>
        <v>1</v>
      </c>
      <c r="E39" s="42">
        <f>SUM(E37:E38)</f>
        <v>750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</sheetData>
  <mergeCells count="14">
    <mergeCell ref="B36:C36"/>
    <mergeCell ref="B37:C37"/>
    <mergeCell ref="B38:C38"/>
    <mergeCell ref="B34:C34"/>
    <mergeCell ref="B20:D20"/>
    <mergeCell ref="B21:D21"/>
    <mergeCell ref="B22:D22"/>
    <mergeCell ref="B23:D23"/>
    <mergeCell ref="B12:E12"/>
    <mergeCell ref="B13:D13"/>
    <mergeCell ref="B14:D14"/>
    <mergeCell ref="B15:D15"/>
    <mergeCell ref="B18:E18"/>
    <mergeCell ref="B19:D19"/>
  </mergeCells>
  <dataValidations count="1">
    <dataValidation type="list" allowBlank="1" showInputMessage="1" showErrorMessage="1" sqref="D33" xr:uid="{6B124355-359C-4508-8218-46741C19ED0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16D-E799-410C-94DD-03814E289C93}">
  <dimension ref="A2:D8"/>
  <sheetViews>
    <sheetView workbookViewId="0">
      <selection activeCell="G2" sqref="G2:H2"/>
    </sheetView>
  </sheetViews>
  <sheetFormatPr defaultRowHeight="13.8"/>
  <cols>
    <col min="1" max="1" width="17.69921875" bestFit="1" customWidth="1"/>
    <col min="2" max="2" width="11.19921875" bestFit="1" customWidth="1"/>
    <col min="3" max="3" width="10.69921875" bestFit="1" customWidth="1"/>
  </cols>
  <sheetData>
    <row r="2" spans="1:4">
      <c r="A2" t="s">
        <v>30</v>
      </c>
      <c r="B2" t="s">
        <v>28</v>
      </c>
      <c r="C2" s="43" t="s">
        <v>22</v>
      </c>
      <c r="D2" t="s">
        <v>29</v>
      </c>
    </row>
    <row r="3" spans="1:4">
      <c r="A3" t="str">
        <f>B3&amp;"-"&amp;C3</f>
        <v>Conservador-PAPEL</v>
      </c>
      <c r="B3" t="s">
        <v>27</v>
      </c>
      <c r="C3" s="34" t="s">
        <v>25</v>
      </c>
      <c r="D3" s="46">
        <v>0.3</v>
      </c>
    </row>
    <row r="4" spans="1:4">
      <c r="A4" s="44" t="str">
        <f t="shared" ref="A4:A8" si="0">B4&amp;"-"&amp;C4</f>
        <v>Conservador-TIJOLO</v>
      </c>
      <c r="B4" s="44" t="s">
        <v>27</v>
      </c>
      <c r="C4" s="45" t="s">
        <v>26</v>
      </c>
      <c r="D4" s="47">
        <v>0.7</v>
      </c>
    </row>
    <row r="5" spans="1:4">
      <c r="A5" t="str">
        <f t="shared" si="0"/>
        <v>Moderado-PAPEL</v>
      </c>
      <c r="B5" t="s">
        <v>31</v>
      </c>
      <c r="C5" s="34" t="s">
        <v>25</v>
      </c>
      <c r="D5" s="46">
        <v>0.5</v>
      </c>
    </row>
    <row r="6" spans="1:4">
      <c r="A6" s="44" t="str">
        <f t="shared" si="0"/>
        <v>Moderado-TIJOLO</v>
      </c>
      <c r="B6" s="44" t="s">
        <v>31</v>
      </c>
      <c r="C6" s="45" t="s">
        <v>26</v>
      </c>
      <c r="D6" s="47">
        <v>0.5</v>
      </c>
    </row>
    <row r="7" spans="1:4">
      <c r="A7" t="str">
        <f t="shared" si="0"/>
        <v>Agressivo-PAPEL</v>
      </c>
      <c r="B7" t="s">
        <v>20</v>
      </c>
      <c r="C7" s="34" t="s">
        <v>25</v>
      </c>
      <c r="D7" s="46">
        <v>0.7</v>
      </c>
    </row>
    <row r="8" spans="1:4">
      <c r="A8" t="str">
        <f t="shared" si="0"/>
        <v>Agressivo-TIJOLO</v>
      </c>
      <c r="B8" t="s">
        <v>20</v>
      </c>
      <c r="C8" s="34" t="s">
        <v>26</v>
      </c>
      <c r="D8" s="46">
        <v>0.3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Brito Corteis</dc:creator>
  <cp:lastModifiedBy>Thiago de Brito Corteis</cp:lastModifiedBy>
  <dcterms:created xsi:type="dcterms:W3CDTF">2026-02-11T20:14:02Z</dcterms:created>
  <dcterms:modified xsi:type="dcterms:W3CDTF">2026-02-13T21:11:38Z</dcterms:modified>
</cp:coreProperties>
</file>